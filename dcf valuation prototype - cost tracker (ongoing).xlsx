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A4B77E924EAB28C/Documents/"/>
    </mc:Choice>
  </mc:AlternateContent>
  <xr:revisionPtr revIDLastSave="0" documentId="8_{570C5CCC-8260-4557-A4C0-02465C8C1621}" xr6:coauthVersionLast="47" xr6:coauthVersionMax="47" xr10:uidLastSave="{00000000-0000-0000-0000-000000000000}"/>
  <bookViews>
    <workbookView xWindow="3696" yWindow="3360" windowWidth="17280" windowHeight="8880" tabRatio="500" xr2:uid="{00000000-000D-0000-FFFF-FFFF00000000}"/>
  </bookViews>
  <sheets>
    <sheet name="Summary" sheetId="1" r:id="rId1"/>
    <sheet name="AAPL" sheetId="2" r:id="rId2"/>
    <sheet name="MSFT" sheetId="3" r:id="rId3"/>
    <sheet name="GOOGL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5" i="4" l="1"/>
  <c r="E45" i="4"/>
  <c r="D45" i="4"/>
  <c r="C45" i="4"/>
  <c r="B45" i="4"/>
  <c r="F44" i="4"/>
  <c r="E44" i="4"/>
  <c r="D44" i="4"/>
  <c r="C44" i="4"/>
  <c r="B44" i="4"/>
  <c r="F43" i="4"/>
  <c r="E43" i="4"/>
  <c r="D43" i="4"/>
  <c r="C43" i="4"/>
  <c r="B43" i="4"/>
  <c r="F42" i="4"/>
  <c r="E42" i="4"/>
  <c r="D42" i="4"/>
  <c r="C42" i="4"/>
  <c r="B42" i="4"/>
  <c r="F41" i="4"/>
  <c r="E41" i="4"/>
  <c r="D41" i="4"/>
  <c r="C41" i="4"/>
  <c r="B41" i="4"/>
  <c r="B34" i="4"/>
  <c r="B32" i="4"/>
  <c r="B30" i="4"/>
  <c r="B29" i="4"/>
  <c r="D21" i="4"/>
  <c r="D20" i="4"/>
  <c r="D19" i="4"/>
  <c r="D18" i="4"/>
  <c r="C18" i="4"/>
  <c r="E17" i="4"/>
  <c r="D17" i="4"/>
  <c r="C17" i="4"/>
  <c r="F45" i="3"/>
  <c r="E45" i="3"/>
  <c r="D45" i="3"/>
  <c r="C45" i="3"/>
  <c r="B45" i="3"/>
  <c r="F44" i="3"/>
  <c r="E44" i="3"/>
  <c r="D44" i="3"/>
  <c r="C44" i="3"/>
  <c r="B44" i="3"/>
  <c r="F43" i="3"/>
  <c r="E43" i="3"/>
  <c r="D43" i="3"/>
  <c r="C43" i="3"/>
  <c r="B43" i="3"/>
  <c r="F42" i="3"/>
  <c r="E42" i="3"/>
  <c r="D42" i="3"/>
  <c r="C42" i="3"/>
  <c r="B42" i="3"/>
  <c r="F41" i="3"/>
  <c r="E41" i="3"/>
  <c r="D41" i="3"/>
  <c r="C41" i="3"/>
  <c r="B41" i="3"/>
  <c r="B34" i="3"/>
  <c r="B32" i="3"/>
  <c r="B30" i="3"/>
  <c r="B29" i="3"/>
  <c r="D21" i="3"/>
  <c r="D20" i="3"/>
  <c r="D19" i="3"/>
  <c r="D18" i="3"/>
  <c r="D17" i="3"/>
  <c r="C17" i="3"/>
  <c r="F45" i="2"/>
  <c r="E45" i="2"/>
  <c r="D45" i="2"/>
  <c r="C45" i="2"/>
  <c r="B45" i="2"/>
  <c r="F44" i="2"/>
  <c r="E44" i="2"/>
  <c r="D44" i="2"/>
  <c r="C44" i="2"/>
  <c r="B44" i="2"/>
  <c r="F43" i="2"/>
  <c r="E43" i="2"/>
  <c r="D43" i="2"/>
  <c r="C43" i="2"/>
  <c r="B43" i="2"/>
  <c r="F42" i="2"/>
  <c r="E42" i="2"/>
  <c r="D42" i="2"/>
  <c r="C42" i="2"/>
  <c r="B42" i="2"/>
  <c r="F41" i="2"/>
  <c r="E41" i="2"/>
  <c r="D41" i="2"/>
  <c r="C41" i="2"/>
  <c r="B41" i="2"/>
  <c r="B34" i="2"/>
  <c r="B32" i="2"/>
  <c r="B30" i="2"/>
  <c r="B29" i="2"/>
  <c r="D21" i="2"/>
  <c r="D20" i="2"/>
  <c r="D19" i="2"/>
  <c r="D18" i="2"/>
  <c r="D17" i="2"/>
  <c r="C17" i="2"/>
  <c r="C7" i="1"/>
  <c r="C6" i="1"/>
  <c r="C18" i="3" l="1"/>
  <c r="E17" i="3"/>
  <c r="C18" i="2"/>
  <c r="E17" i="2"/>
  <c r="C5" i="1"/>
  <c r="D23" i="4"/>
  <c r="C19" i="4"/>
  <c r="E18" i="4"/>
  <c r="D23" i="3"/>
  <c r="D23" i="2"/>
  <c r="E18" i="3" l="1"/>
  <c r="C19" i="3"/>
  <c r="E18" i="2"/>
  <c r="C19" i="2"/>
  <c r="E19" i="4"/>
  <c r="C20" i="4"/>
  <c r="E19" i="3" l="1"/>
  <c r="C20" i="3"/>
  <c r="E19" i="2"/>
  <c r="C20" i="2"/>
  <c r="E20" i="4"/>
  <c r="C21" i="4"/>
  <c r="E20" i="3" l="1"/>
  <c r="C21" i="3"/>
  <c r="E20" i="2"/>
  <c r="C21" i="2"/>
  <c r="E21" i="4"/>
  <c r="B26" i="4" s="1"/>
  <c r="B28" i="4" s="1"/>
  <c r="C23" i="4"/>
  <c r="E23" i="4" s="1"/>
  <c r="B27" i="4" s="1"/>
  <c r="E21" i="3" l="1"/>
  <c r="B26" i="3" s="1"/>
  <c r="C23" i="3"/>
  <c r="E23" i="3" s="1"/>
  <c r="B27" i="3" s="1"/>
  <c r="E21" i="2"/>
  <c r="B26" i="2" s="1"/>
  <c r="C23" i="2"/>
  <c r="E23" i="2" s="1"/>
  <c r="B27" i="2" s="1"/>
  <c r="B31" i="4"/>
  <c r="F7" i="1"/>
  <c r="G7" i="1" l="1"/>
  <c r="B33" i="4"/>
  <c r="B28" i="2"/>
  <c r="B28" i="3"/>
  <c r="B35" i="4" l="1"/>
  <c r="E7" i="1" s="1"/>
  <c r="D7" i="1"/>
  <c r="B31" i="2"/>
  <c r="F5" i="1"/>
  <c r="B31" i="3"/>
  <c r="F6" i="1"/>
  <c r="G5" i="1" l="1"/>
  <c r="B33" i="2"/>
  <c r="G6" i="1"/>
  <c r="B33" i="3"/>
  <c r="B35" i="2" l="1"/>
  <c r="E5" i="1" s="1"/>
  <c r="D5" i="1"/>
  <c r="B35" i="3"/>
  <c r="E6" i="1" s="1"/>
  <c r="D6" i="1"/>
</calcChain>
</file>

<file path=xl/sharedStrings.xml><?xml version="1.0" encoding="utf-8"?>
<sst xmlns="http://schemas.openxmlformats.org/spreadsheetml/2006/main" count="138" uniqueCount="64">
  <si>
    <t>Discounted Cash Flow model applied to 3 real companies. Edit assumptions on each ticker's tab; this view updates automatically.</t>
  </si>
  <si>
    <t>Company</t>
  </si>
  <si>
    <t>Ticker</t>
  </si>
  <si>
    <t>Current Price ($)</t>
  </si>
  <si>
    <t>Intrinsic Value / Share ($)</t>
  </si>
  <si>
    <t>Upside / (Downside)</t>
  </si>
  <si>
    <t>Enterprise Value ($mm)</t>
  </si>
  <si>
    <t>Equity Value ($mm)</t>
  </si>
  <si>
    <t>Apple Inc.</t>
  </si>
  <si>
    <t>AAPL</t>
  </si>
  <si>
    <t>Microsoft Corp.</t>
  </si>
  <si>
    <t>MSFT</t>
  </si>
  <si>
    <t>Alphabet Inc.</t>
  </si>
  <si>
    <t>GOOGL</t>
  </si>
  <si>
    <t>How this model works:</t>
  </si>
  <si>
    <t>1. Each ticker's tab holds Inputs (blue) for FCF, growth, WACC, terminal growth, debt, cash, shares, and price.</t>
  </si>
  <si>
    <t>2. FCF is projected 5 years forward, then discounted back to present value using the WACC.</t>
  </si>
  <si>
    <t>3. A Terminal Value captures all cash flows beyond Year 5, using the Gordon Growth formula, and is also discounted to PV.</t>
  </si>
  <si>
    <t>4. Enterprise Value = PV of 5-yr FCF + PV of Terminal Value. Equity Value = Enterprise Value - Debt + Cash.</t>
  </si>
  <si>
    <t>5. Intrinsic Value per Share = Equity Value / Diluted Shares. Compared against the current market price to flag over/undervaluation.</t>
  </si>
  <si>
    <t>6. Change any blue assumption cell on a company tab (e.g. WACC, growth rate) and every total recalculates automatically.</t>
  </si>
  <si>
    <t>Note: financial inputs are sourced from each company's most recent 10-K/annual report and recent market price (see source note on each tab).</t>
  </si>
  <si>
    <t>This is a simplified educational/portfolio model — production-grade DCFs would build a full 3-statement model and sensitivity tables.</t>
  </si>
  <si>
    <t>Apple Inc. (AAPL) — DCF Valuation Prototype</t>
  </si>
  <si>
    <t>5-year FCF projection, discounted to present value, plus terminal value (Gordon Growth).</t>
  </si>
  <si>
    <t>Inputs</t>
  </si>
  <si>
    <t>Base year Free Cash Flow ($mm)</t>
  </si>
  <si>
    <t>Base year Revenue ($mm)</t>
  </si>
  <si>
    <t>FCF growth rate (Yrs 1-5)</t>
  </si>
  <si>
    <t>Discount rate / WACC</t>
  </si>
  <si>
    <t>Terminal growth rate</t>
  </si>
  <si>
    <t>Cash &amp; equivalents ($mm)</t>
  </si>
  <si>
    <t>Total debt ($mm)</t>
  </si>
  <si>
    <t>Diluted shares outstanding (mm)</t>
  </si>
  <si>
    <t>Current share price ($)</t>
  </si>
  <si>
    <t>Source: Apple FY2025 10-K (FY ended Sep-2025); price ~Jun 2026</t>
  </si>
  <si>
    <t>Year</t>
  </si>
  <si>
    <t>Period (t)</t>
  </si>
  <si>
    <t>Projected FCF ($mm)</t>
  </si>
  <si>
    <t>Discount Factor</t>
  </si>
  <si>
    <t>PV of FCF ($mm)</t>
  </si>
  <si>
    <t>Year 1</t>
  </si>
  <si>
    <t>Year 2</t>
  </si>
  <si>
    <t>Year 3</t>
  </si>
  <si>
    <t>Year 4</t>
  </si>
  <si>
    <t>Year 5</t>
  </si>
  <si>
    <t>Terminal Value (at end of Year 5)</t>
  </si>
  <si>
    <t>Valuation Summary</t>
  </si>
  <si>
    <t>Sum of PV of 5-yr FCF ($mm)</t>
  </si>
  <si>
    <t>PV of Terminal Value ($mm)</t>
  </si>
  <si>
    <t>Less: Total Debt ($mm)</t>
  </si>
  <si>
    <t>Add: Cash &amp; Equivalents ($mm)</t>
  </si>
  <si>
    <t>Diluted Shares Outstanding (mm)</t>
  </si>
  <si>
    <t>Intrinsic Value per Share ($)</t>
  </si>
  <si>
    <t>Current Share Price ($)</t>
  </si>
  <si>
    <t>Upside / (Downside) to Intrinsic Value</t>
  </si>
  <si>
    <t>Sensitivity: Intrinsic Value per Share ($)</t>
  </si>
  <si>
    <t>Rows = WACC, Columns = Terminal growth rate. Edit the blue axis values to widen/narrow the range.</t>
  </si>
  <si>
    <t>WACC \ Terminal g</t>
  </si>
  <si>
    <t>Microsoft Corp. (MSFT) — DCF Valuation Prototype</t>
  </si>
  <si>
    <t>Source: Microsoft FY2025 10-K (FY ended Jun-2025); price ~Jun 2026</t>
  </si>
  <si>
    <t>Alphabet Inc. (GOOGL) — DCF Valuation Prototype</t>
  </si>
  <si>
    <t>Source: Alphabet FY2025 10-K/ARS (FY ended Dec-2025); price ~Jun 2026</t>
  </si>
  <si>
    <t>DCF Valuation Prototype - Company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</si>
</sst>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;&quot;($&quot;#,##0.00\);\-"/>
    <numFmt numFmtId="165" formatCode="0.0%"/>
    <numFmt numFmtId="166" formatCode="\$#,##0;&quot;($&quot;#,##0\);\-"/>
    <numFmt numFmtId="167" formatCode="0.000"/>
  </numFmts>
  <fonts count="11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sz val="11"/>
      <color rgb="FF008000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b/>
      <sz val="11"/>
      <color rgb="FF000000"/>
      <name val="Arial"/>
      <charset val="1"/>
    </font>
    <font>
      <sz val="9"/>
      <color rgb="FF666666"/>
      <name val="Arial"/>
      <family val="2"/>
    </font>
    <font>
      <sz val="11"/>
      <color rgb="FF000000"/>
      <name val="Arial"/>
      <family val="2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0" fontId="5" fillId="0" borderId="0" xfId="0" applyFont="1"/>
    <xf numFmtId="0" fontId="3" fillId="0" borderId="0" xfId="0" applyFont="1"/>
    <xf numFmtId="166" fontId="6" fillId="4" borderId="1" xfId="0" applyNumberFormat="1" applyFont="1" applyFill="1" applyBorder="1"/>
    <xf numFmtId="165" fontId="6" fillId="4" borderId="1" xfId="0" applyNumberFormat="1" applyFont="1" applyFill="1" applyBorder="1"/>
    <xf numFmtId="3" fontId="6" fillId="4" borderId="1" xfId="0" applyNumberFormat="1" applyFont="1" applyFill="1" applyBorder="1"/>
    <xf numFmtId="164" fontId="6" fillId="4" borderId="1" xfId="0" applyNumberFormat="1" applyFont="1" applyFill="1" applyBorder="1"/>
    <xf numFmtId="1" fontId="3" fillId="0" borderId="1" xfId="0" applyNumberFormat="1" applyFont="1" applyBorder="1"/>
    <xf numFmtId="166" fontId="3" fillId="0" borderId="1" xfId="0" applyNumberFormat="1" applyFont="1" applyBorder="1"/>
    <xf numFmtId="167" fontId="3" fillId="0" borderId="1" xfId="0" applyNumberFormat="1" applyFont="1" applyBorder="1"/>
    <xf numFmtId="0" fontId="0" fillId="0" borderId="1" xfId="0" applyBorder="1"/>
    <xf numFmtId="166" fontId="7" fillId="0" borderId="1" xfId="0" applyNumberFormat="1" applyFont="1" applyBorder="1"/>
    <xf numFmtId="3" fontId="3" fillId="0" borderId="1" xfId="0" applyNumberFormat="1" applyFont="1" applyBorder="1"/>
    <xf numFmtId="164" fontId="7" fillId="0" borderId="1" xfId="0" applyNumberFormat="1" applyFont="1" applyBorder="1"/>
    <xf numFmtId="164" fontId="3" fillId="0" borderId="1" xfId="0" applyNumberFormat="1" applyFont="1" applyBorder="1"/>
    <xf numFmtId="165" fontId="7" fillId="0" borderId="1" xfId="0" applyNumberFormat="1" applyFont="1" applyBorder="1"/>
    <xf numFmtId="165" fontId="6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" fillId="0" borderId="0" xfId="0" applyFont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zoomScaleNormal="100" workbookViewId="0">
      <selection activeCell="A13" sqref="A13:G13"/>
    </sheetView>
  </sheetViews>
  <sheetFormatPr defaultColWidth="8.6640625" defaultRowHeight="14.4" x14ac:dyDescent="0.3"/>
  <cols>
    <col min="1" max="1" width="26" customWidth="1"/>
    <col min="2" max="2" width="10" customWidth="1"/>
    <col min="3" max="3" width="16" customWidth="1"/>
    <col min="4" max="4" width="20" customWidth="1"/>
    <col min="5" max="5" width="18" customWidth="1"/>
    <col min="6" max="6" width="20" customWidth="1"/>
    <col min="7" max="7" width="18" customWidth="1"/>
  </cols>
  <sheetData>
    <row r="1" spans="1:7" ht="17.399999999999999" x14ac:dyDescent="0.3">
      <c r="A1" s="25" t="s">
        <v>63</v>
      </c>
      <c r="B1" s="26"/>
      <c r="C1" s="26"/>
      <c r="D1" s="26"/>
      <c r="E1" s="26"/>
      <c r="F1" s="26"/>
      <c r="G1" s="26"/>
    </row>
    <row r="2" spans="1:7" x14ac:dyDescent="0.3">
      <c r="A2" s="23" t="s">
        <v>0</v>
      </c>
      <c r="B2" s="23"/>
      <c r="C2" s="23"/>
      <c r="D2" s="23"/>
      <c r="E2" s="23"/>
      <c r="F2" s="23"/>
      <c r="G2" s="23"/>
    </row>
    <row r="4" spans="1:7" ht="28.2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3">
      <c r="A5" s="2" t="s">
        <v>8</v>
      </c>
      <c r="B5" s="2" t="s">
        <v>9</v>
      </c>
      <c r="C5" s="3">
        <f>AAPL!B34</f>
        <v>298</v>
      </c>
      <c r="D5" s="3">
        <f>AAPL!B33</f>
        <v>133.31945629479895</v>
      </c>
      <c r="E5" s="4">
        <f>AAPL!B35</f>
        <v>-0.55261927417852696</v>
      </c>
      <c r="F5" s="5">
        <f>AAPL!B28</f>
        <v>2012861.5640371286</v>
      </c>
      <c r="G5" s="5">
        <f>AAPL!B31</f>
        <v>1970461.5640371286</v>
      </c>
    </row>
    <row r="6" spans="1:7" x14ac:dyDescent="0.3">
      <c r="A6" s="2" t="s">
        <v>10</v>
      </c>
      <c r="B6" s="2" t="s">
        <v>11</v>
      </c>
      <c r="C6" s="3">
        <f>MSFT!B34</f>
        <v>378</v>
      </c>
      <c r="D6" s="3">
        <f>MSFT!B33</f>
        <v>285.50089827887825</v>
      </c>
      <c r="E6" s="4">
        <f>MSFT!B35</f>
        <v>-0.24470661830984586</v>
      </c>
      <c r="F6" s="5">
        <f>MSFT!B28</f>
        <v>2131271.6742120655</v>
      </c>
      <c r="G6" s="5">
        <f>MSFT!B31</f>
        <v>2121271.6742120655</v>
      </c>
    </row>
    <row r="7" spans="1:7" x14ac:dyDescent="0.3">
      <c r="A7" s="2" t="s">
        <v>12</v>
      </c>
      <c r="B7" s="2" t="s">
        <v>13</v>
      </c>
      <c r="C7" s="3">
        <f>GOOGL!B34</f>
        <v>366</v>
      </c>
      <c r="D7" s="3">
        <f>GOOGL!B33</f>
        <v>175.87741962861489</v>
      </c>
      <c r="E7" s="4">
        <f>GOOGL!B35</f>
        <v>-0.51946060210760958</v>
      </c>
      <c r="F7" s="5">
        <f>GOOGL!B28</f>
        <v>2060616.7775062402</v>
      </c>
      <c r="G7" s="5">
        <f>GOOGL!B31</f>
        <v>2128116.7775062402</v>
      </c>
    </row>
    <row r="10" spans="1:7" x14ac:dyDescent="0.3">
      <c r="A10" s="6" t="s">
        <v>14</v>
      </c>
    </row>
    <row r="11" spans="1:7" x14ac:dyDescent="0.3">
      <c r="A11" s="23" t="s">
        <v>15</v>
      </c>
      <c r="B11" s="23"/>
      <c r="C11" s="23"/>
      <c r="D11" s="23"/>
      <c r="E11" s="23"/>
      <c r="F11" s="23"/>
      <c r="G11" s="23"/>
    </row>
    <row r="12" spans="1:7" x14ac:dyDescent="0.3">
      <c r="A12" s="23" t="s">
        <v>16</v>
      </c>
      <c r="B12" s="23"/>
      <c r="C12" s="23"/>
      <c r="D12" s="23"/>
      <c r="E12" s="23"/>
      <c r="F12" s="23"/>
      <c r="G12" s="23"/>
    </row>
    <row r="13" spans="1:7" x14ac:dyDescent="0.3">
      <c r="A13" s="23" t="s">
        <v>17</v>
      </c>
      <c r="B13" s="23"/>
      <c r="C13" s="23"/>
      <c r="D13" s="23"/>
      <c r="E13" s="23"/>
      <c r="F13" s="23"/>
      <c r="G13" s="23"/>
    </row>
    <row r="14" spans="1:7" x14ac:dyDescent="0.3">
      <c r="A14" s="23" t="s">
        <v>18</v>
      </c>
      <c r="B14" s="23"/>
      <c r="C14" s="23"/>
      <c r="D14" s="23"/>
      <c r="E14" s="23"/>
      <c r="F14" s="23"/>
      <c r="G14" s="23"/>
    </row>
    <row r="15" spans="1:7" x14ac:dyDescent="0.3">
      <c r="A15" s="23" t="s">
        <v>19</v>
      </c>
      <c r="B15" s="23"/>
      <c r="C15" s="23"/>
      <c r="D15" s="23"/>
      <c r="E15" s="23"/>
      <c r="F15" s="23"/>
      <c r="G15" s="23"/>
    </row>
    <row r="16" spans="1:7" x14ac:dyDescent="0.3">
      <c r="A16" s="23" t="s">
        <v>20</v>
      </c>
      <c r="B16" s="23"/>
      <c r="C16" s="23"/>
      <c r="D16" s="23"/>
      <c r="E16" s="23"/>
      <c r="F16" s="23"/>
      <c r="G16" s="23"/>
    </row>
    <row r="17" spans="1:7" x14ac:dyDescent="0.3">
      <c r="A17" s="24"/>
      <c r="B17" s="24"/>
      <c r="C17" s="24"/>
      <c r="D17" s="24"/>
      <c r="E17" s="24"/>
      <c r="F17" s="24"/>
      <c r="G17" s="24"/>
    </row>
    <row r="18" spans="1:7" x14ac:dyDescent="0.3">
      <c r="A18" s="23" t="s">
        <v>21</v>
      </c>
      <c r="B18" s="23"/>
      <c r="C18" s="23"/>
      <c r="D18" s="23"/>
      <c r="E18" s="23"/>
      <c r="F18" s="23"/>
      <c r="G18" s="23"/>
    </row>
    <row r="19" spans="1:7" x14ac:dyDescent="0.3">
      <c r="A19" s="23" t="s">
        <v>22</v>
      </c>
      <c r="B19" s="23"/>
      <c r="C19" s="23"/>
      <c r="D19" s="23"/>
      <c r="E19" s="23"/>
      <c r="F19" s="23"/>
      <c r="G19" s="23"/>
    </row>
  </sheetData>
  <mergeCells count="11">
    <mergeCell ref="A1:G1"/>
    <mergeCell ref="A2:G2"/>
    <mergeCell ref="A11:G11"/>
    <mergeCell ref="A12:G12"/>
    <mergeCell ref="A13:G13"/>
    <mergeCell ref="A19:G19"/>
    <mergeCell ref="A14:G14"/>
    <mergeCell ref="A15:G15"/>
    <mergeCell ref="A16:G16"/>
    <mergeCell ref="A17:G17"/>
    <mergeCell ref="A18:G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topLeftCell="A24" zoomScaleNormal="100" workbookViewId="0">
      <selection activeCell="A38" sqref="A38:F39"/>
    </sheetView>
  </sheetViews>
  <sheetFormatPr defaultColWidth="8.6640625" defaultRowHeight="14.4" x14ac:dyDescent="0.3"/>
  <cols>
    <col min="1" max="1" width="36" customWidth="1"/>
    <col min="2" max="2" width="16" customWidth="1"/>
    <col min="3" max="3" width="18" customWidth="1"/>
    <col min="4" max="5" width="16" customWidth="1"/>
    <col min="6" max="6" width="14" customWidth="1"/>
  </cols>
  <sheetData>
    <row r="1" spans="1:6" ht="17.399999999999999" x14ac:dyDescent="0.3">
      <c r="A1" s="26" t="s">
        <v>23</v>
      </c>
      <c r="B1" s="26"/>
      <c r="C1" s="26"/>
      <c r="D1" s="26"/>
      <c r="E1" s="26"/>
      <c r="F1" s="26"/>
    </row>
    <row r="2" spans="1:6" x14ac:dyDescent="0.3">
      <c r="A2" s="23" t="s">
        <v>24</v>
      </c>
      <c r="B2" s="23"/>
      <c r="C2" s="23"/>
      <c r="D2" s="23"/>
      <c r="E2" s="23"/>
      <c r="F2" s="23"/>
    </row>
    <row r="4" spans="1:6" x14ac:dyDescent="0.3">
      <c r="A4" s="27" t="s">
        <v>25</v>
      </c>
      <c r="B4" s="27"/>
    </row>
    <row r="5" spans="1:6" x14ac:dyDescent="0.3">
      <c r="A5" s="7" t="s">
        <v>26</v>
      </c>
      <c r="B5" s="8">
        <v>98767</v>
      </c>
    </row>
    <row r="6" spans="1:6" x14ac:dyDescent="0.3">
      <c r="A6" s="7" t="s">
        <v>27</v>
      </c>
      <c r="B6" s="8">
        <v>416200</v>
      </c>
    </row>
    <row r="7" spans="1:6" x14ac:dyDescent="0.3">
      <c r="A7" s="7" t="s">
        <v>28</v>
      </c>
      <c r="B7" s="9">
        <v>7.0000000000000007E-2</v>
      </c>
    </row>
    <row r="8" spans="1:6" x14ac:dyDescent="0.3">
      <c r="A8" s="7" t="s">
        <v>29</v>
      </c>
      <c r="B8" s="9">
        <v>0.09</v>
      </c>
    </row>
    <row r="9" spans="1:6" x14ac:dyDescent="0.3">
      <c r="A9" s="7" t="s">
        <v>30</v>
      </c>
      <c r="B9" s="9">
        <v>0.03</v>
      </c>
    </row>
    <row r="10" spans="1:6" x14ac:dyDescent="0.3">
      <c r="A10" s="7" t="s">
        <v>31</v>
      </c>
      <c r="B10" s="8">
        <v>35900</v>
      </c>
    </row>
    <row r="11" spans="1:6" x14ac:dyDescent="0.3">
      <c r="A11" s="7" t="s">
        <v>32</v>
      </c>
      <c r="B11" s="8">
        <v>78300</v>
      </c>
    </row>
    <row r="12" spans="1:6" x14ac:dyDescent="0.3">
      <c r="A12" s="7" t="s">
        <v>33</v>
      </c>
      <c r="B12" s="10">
        <v>14780</v>
      </c>
    </row>
    <row r="13" spans="1:6" x14ac:dyDescent="0.3">
      <c r="A13" s="7" t="s">
        <v>34</v>
      </c>
      <c r="B13" s="11">
        <v>298</v>
      </c>
    </row>
    <row r="14" spans="1:6" x14ac:dyDescent="0.3">
      <c r="A14" s="23" t="s">
        <v>35</v>
      </c>
      <c r="B14" s="23"/>
      <c r="C14" s="23"/>
      <c r="D14" s="23"/>
      <c r="E14" s="23"/>
      <c r="F14" s="23"/>
    </row>
    <row r="16" spans="1:6" ht="28.2" x14ac:dyDescent="0.3">
      <c r="A16" s="1" t="s">
        <v>36</v>
      </c>
      <c r="B16" s="1" t="s">
        <v>37</v>
      </c>
      <c r="C16" s="1" t="s">
        <v>38</v>
      </c>
      <c r="D16" s="1" t="s">
        <v>39</v>
      </c>
      <c r="E16" s="1" t="s">
        <v>40</v>
      </c>
    </row>
    <row r="17" spans="1:5" x14ac:dyDescent="0.3">
      <c r="A17" s="2" t="s">
        <v>41</v>
      </c>
      <c r="B17" s="12">
        <v>1</v>
      </c>
      <c r="C17" s="13">
        <f>$B$5*(1+$B$7)</f>
        <v>105680.69</v>
      </c>
      <c r="D17" s="14">
        <f>1/(1+$B$8)^B17</f>
        <v>0.9174311926605504</v>
      </c>
      <c r="E17" s="13">
        <f>C17*D17</f>
        <v>96954.761467889897</v>
      </c>
    </row>
    <row r="18" spans="1:5" x14ac:dyDescent="0.3">
      <c r="A18" s="2" t="s">
        <v>42</v>
      </c>
      <c r="B18" s="12">
        <v>2</v>
      </c>
      <c r="C18" s="13">
        <f>C17*(1+$B$7)</f>
        <v>113078.3383</v>
      </c>
      <c r="D18" s="14">
        <f>1/(1+$B$8)^B18</f>
        <v>0.84167999326655996</v>
      </c>
      <c r="E18" s="13">
        <f>C18*D18</f>
        <v>95175.775018937798</v>
      </c>
    </row>
    <row r="19" spans="1:5" x14ac:dyDescent="0.3">
      <c r="A19" s="2" t="s">
        <v>43</v>
      </c>
      <c r="B19" s="12">
        <v>3</v>
      </c>
      <c r="C19" s="13">
        <f>C18*(1+$B$7)</f>
        <v>120993.82198100002</v>
      </c>
      <c r="D19" s="14">
        <f>1/(1+$B$8)^B19</f>
        <v>0.77218348006106419</v>
      </c>
      <c r="E19" s="13">
        <f>C19*D19</f>
        <v>93429.430523177478</v>
      </c>
    </row>
    <row r="20" spans="1:5" x14ac:dyDescent="0.3">
      <c r="A20" s="2" t="s">
        <v>44</v>
      </c>
      <c r="B20" s="12">
        <v>4</v>
      </c>
      <c r="C20" s="13">
        <f>C19*(1+$B$7)</f>
        <v>129463.38951967002</v>
      </c>
      <c r="D20" s="14">
        <f>1/(1+$B$8)^B20</f>
        <v>0.7084252110651964</v>
      </c>
      <c r="E20" s="13">
        <f>C20*D20</f>
        <v>91715.129045687965</v>
      </c>
    </row>
    <row r="21" spans="1:5" x14ac:dyDescent="0.3">
      <c r="A21" s="2" t="s">
        <v>45</v>
      </c>
      <c r="B21" s="12">
        <v>5</v>
      </c>
      <c r="C21" s="13">
        <f>C20*(1+$B$7)</f>
        <v>138525.82678604694</v>
      </c>
      <c r="D21" s="14">
        <f>1/(1+$B$8)^B21</f>
        <v>0.64993138629834524</v>
      </c>
      <c r="E21" s="13">
        <f>C21*D21</f>
        <v>90032.282641179932</v>
      </c>
    </row>
    <row r="23" spans="1:5" x14ac:dyDescent="0.3">
      <c r="A23" s="2" t="s">
        <v>46</v>
      </c>
      <c r="B23" s="15"/>
      <c r="C23" s="13">
        <f>C21*(1+$B$9)/($B$8-$B$9)</f>
        <v>2378026.6931604724</v>
      </c>
      <c r="D23" s="14">
        <f>D21</f>
        <v>0.64993138629834524</v>
      </c>
      <c r="E23" s="13">
        <f>C23*D23</f>
        <v>1545554.1853402555</v>
      </c>
    </row>
    <row r="25" spans="1:5" x14ac:dyDescent="0.3">
      <c r="A25" s="27" t="s">
        <v>47</v>
      </c>
      <c r="B25" s="27"/>
    </row>
    <row r="26" spans="1:5" x14ac:dyDescent="0.3">
      <c r="A26" s="2" t="s">
        <v>48</v>
      </c>
      <c r="B26" s="13">
        <f>SUM(E17:E21)</f>
        <v>467307.37869687309</v>
      </c>
    </row>
    <row r="27" spans="1:5" x14ac:dyDescent="0.3">
      <c r="A27" s="2" t="s">
        <v>49</v>
      </c>
      <c r="B27" s="13">
        <f>E23</f>
        <v>1545554.1853402555</v>
      </c>
    </row>
    <row r="28" spans="1:5" x14ac:dyDescent="0.3">
      <c r="A28" s="2" t="s">
        <v>6</v>
      </c>
      <c r="B28" s="16">
        <f>B26+B27</f>
        <v>2012861.5640371286</v>
      </c>
    </row>
    <row r="29" spans="1:5" x14ac:dyDescent="0.3">
      <c r="A29" s="2" t="s">
        <v>50</v>
      </c>
      <c r="B29" s="13">
        <f>-B11</f>
        <v>-78300</v>
      </c>
    </row>
    <row r="30" spans="1:5" x14ac:dyDescent="0.3">
      <c r="A30" s="2" t="s">
        <v>51</v>
      </c>
      <c r="B30" s="13">
        <f>B10</f>
        <v>35900</v>
      </c>
    </row>
    <row r="31" spans="1:5" x14ac:dyDescent="0.3">
      <c r="A31" s="2" t="s">
        <v>7</v>
      </c>
      <c r="B31" s="16">
        <f>B28+B29+B30</f>
        <v>1970461.5640371286</v>
      </c>
    </row>
    <row r="32" spans="1:5" x14ac:dyDescent="0.3">
      <c r="A32" s="2" t="s">
        <v>52</v>
      </c>
      <c r="B32" s="17">
        <f>B12</f>
        <v>14780</v>
      </c>
    </row>
    <row r="33" spans="1:6" x14ac:dyDescent="0.3">
      <c r="A33" s="2" t="s">
        <v>53</v>
      </c>
      <c r="B33" s="18">
        <f>(B31*1)/B32</f>
        <v>133.31945629479895</v>
      </c>
    </row>
    <row r="34" spans="1:6" x14ac:dyDescent="0.3">
      <c r="A34" s="2" t="s">
        <v>54</v>
      </c>
      <c r="B34" s="19">
        <f>B13</f>
        <v>298</v>
      </c>
    </row>
    <row r="35" spans="1:6" x14ac:dyDescent="0.3">
      <c r="A35" s="2" t="s">
        <v>55</v>
      </c>
      <c r="B35" s="20">
        <f>B33/B34-1</f>
        <v>-0.55261927417852696</v>
      </c>
    </row>
    <row r="37" spans="1:6" x14ac:dyDescent="0.3">
      <c r="A37" s="27" t="s">
        <v>56</v>
      </c>
      <c r="B37" s="27"/>
      <c r="C37" s="27"/>
      <c r="D37" s="27"/>
      <c r="E37" s="27"/>
      <c r="F37" s="27"/>
    </row>
    <row r="38" spans="1:6" x14ac:dyDescent="0.3">
      <c r="A38" s="23" t="s">
        <v>57</v>
      </c>
      <c r="B38" s="23"/>
      <c r="C38" s="23"/>
      <c r="D38" s="23"/>
      <c r="E38" s="23"/>
      <c r="F38" s="23"/>
    </row>
    <row r="39" spans="1:6" x14ac:dyDescent="0.3">
      <c r="A39" s="22" t="s">
        <v>58</v>
      </c>
    </row>
    <row r="40" spans="1:6" x14ac:dyDescent="0.3">
      <c r="B40" s="21">
        <v>0.02</v>
      </c>
      <c r="C40" s="21">
        <v>2.5000000000000001E-2</v>
      </c>
      <c r="D40" s="21">
        <v>0.03</v>
      </c>
      <c r="E40" s="21">
        <v>3.5000000000000003E-2</v>
      </c>
      <c r="F40" s="21">
        <v>0.04</v>
      </c>
    </row>
    <row r="41" spans="1:6" x14ac:dyDescent="0.3">
      <c r="A41" s="9">
        <v>0.08</v>
      </c>
      <c r="B41" s="19">
        <f>(SUMPRODUCT($B$5*(1+$B$7)^{1,2,3,4,5},(1+$A41)^-{1,2,3,4,5})+($B$5*(1+$B$7)^5*(1+B$40)/($A41-B$40))*(1+$A41)^-5-$B$11+$B$10)/$B$12</f>
        <v>138.06613627055108</v>
      </c>
      <c r="C41" s="19">
        <f>(SUMPRODUCT($B$5*(1+$B$7)^{1,2,3,4,5},(1+$A41)^-{1,2,3,4,5})+($B$5*(1+$B$7)^5*(1+C$40)/($A41-C$40))*(1+$A41)^-5-$B$11+$B$10)/$B$12</f>
        <v>148.5041378770479</v>
      </c>
      <c r="D41" s="19">
        <f>(SUMPRODUCT($B$5*(1+$B$7)^{1,2,3,4,5},(1+$A41)^-{1,2,3,4,5})+($B$5*(1+$B$7)^5*(1+D$40)/($A41-D$40))*(1+$A41)^-5-$B$11+$B$10)/$B$12</f>
        <v>161.02973980484404</v>
      </c>
      <c r="E41" s="19">
        <f>(SUMPRODUCT($B$5*(1+$B$7)^{1,2,3,4,5},(1+$A41)^-{1,2,3,4,5})+($B$5*(1+$B$7)^5*(1+E$40)/($A41-E$40))*(1+$A41)^-5-$B$11+$B$10)/$B$12</f>
        <v>176.33880882770606</v>
      </c>
      <c r="F41" s="19">
        <f>(SUMPRODUCT($B$5*(1+$B$7)^{1,2,3,4,5},(1+$A41)^-{1,2,3,4,5})+($B$5*(1+$B$7)^5*(1+F$40)/($A41-F$40))*(1+$A41)^-5-$B$11+$B$10)/$B$12</f>
        <v>195.47514510628349</v>
      </c>
    </row>
    <row r="42" spans="1:6" x14ac:dyDescent="0.3">
      <c r="A42" s="9">
        <v>8.5000000000000006E-2</v>
      </c>
      <c r="B42" s="19">
        <f>(SUMPRODUCT($B$5*(1+$B$7)^{1,2,3,4,5},(1+$A42)^-{1,2,3,4,5})+($B$5*(1+$B$7)^5*(1+B$40)/($A42-B$40))*(1+$A42)^-5-$B$11+$B$10)/$B$12</f>
        <v>126.99567219816019</v>
      </c>
      <c r="C42" s="19">
        <f>(SUMPRODUCT($B$5*(1+$B$7)^{1,2,3,4,5},(1+$A42)^-{1,2,3,4,5})+($B$5*(1+$B$7)^5*(1+C$40)/($A42-C$40))*(1+$A42)^-5-$B$11+$B$10)/$B$12</f>
        <v>135.6661446241489</v>
      </c>
      <c r="D42" s="19">
        <f>(SUMPRODUCT($B$5*(1+$B$7)^{1,2,3,4,5},(1+$A42)^-{1,2,3,4,5})+($B$5*(1+$B$7)^5*(1+D$40)/($A42-D$40))*(1+$A42)^-5-$B$11+$B$10)/$B$12</f>
        <v>145.91306658213557</v>
      </c>
      <c r="E42" s="19">
        <f>(SUMPRODUCT($B$5*(1+$B$7)^{1,2,3,4,5},(1+$A42)^-{1,2,3,4,5})+($B$5*(1+$B$7)^5*(1+E$40)/($A42-E$40))*(1+$A42)^-5-$B$11+$B$10)/$B$12</f>
        <v>158.20937293171954</v>
      </c>
      <c r="F42" s="19">
        <f>(SUMPRODUCT($B$5*(1+$B$7)^{1,2,3,4,5},(1+$A42)^-{1,2,3,4,5})+($B$5*(1+$B$7)^5*(1+F$40)/($A42-F$40))*(1+$A42)^-5-$B$11+$B$10)/$B$12</f>
        <v>173.23819180343332</v>
      </c>
    </row>
    <row r="43" spans="1:6" x14ac:dyDescent="0.3">
      <c r="A43" s="9">
        <v>0.09</v>
      </c>
      <c r="B43" s="19">
        <f>(SUMPRODUCT($B$5*(1+$B$7)^{1,2,3,4,5},(1+$A43)^-{1,2,3,4,5})+($B$5*(1+$B$7)^5*(1+B$40)/($A43-B$40))*(1+$A43)^-5-$B$11+$B$10)/$B$12</f>
        <v>117.51057877709707</v>
      </c>
      <c r="C43" s="19">
        <f>(SUMPRODUCT($B$5*(1+$B$7)^{1,2,3,4,5},(1+$A43)^-{1,2,3,4,5})+($B$5*(1+$B$7)^5*(1+C$40)/($A43-C$40))*(1+$A43)^-5-$B$11+$B$10)/$B$12</f>
        <v>124.80698378526715</v>
      </c>
      <c r="D43" s="19">
        <f>(SUMPRODUCT($B$5*(1+$B$7)^{1,2,3,4,5},(1+$A43)^-{1,2,3,4,5})+($B$5*(1+$B$7)^5*(1+D$40)/($A43-D$40))*(1+$A43)^-5-$B$11+$B$10)/$B$12</f>
        <v>133.31945629479895</v>
      </c>
      <c r="E43" s="19">
        <f>(SUMPRODUCT($B$5*(1+$B$7)^{1,2,3,4,5},(1+$A43)^-{1,2,3,4,5})+($B$5*(1+$B$7)^5*(1+E$40)/($A43-E$40))*(1+$A43)^-5-$B$11+$B$10)/$B$12</f>
        <v>143.37965107879106</v>
      </c>
      <c r="F43" s="19">
        <f>(SUMPRODUCT($B$5*(1+$B$7)^{1,2,3,4,5},(1+$A43)^-{1,2,3,4,5})+($B$5*(1+$B$7)^5*(1+F$40)/($A43-F$40))*(1+$A43)^-5-$B$11+$B$10)/$B$12</f>
        <v>155.45188481958158</v>
      </c>
    </row>
    <row r="44" spans="1:6" x14ac:dyDescent="0.3">
      <c r="A44" s="9">
        <v>9.5000000000000001E-2</v>
      </c>
      <c r="B44" s="19">
        <f>(SUMPRODUCT($B$5*(1+$B$7)^{1,2,3,4,5},(1+$A44)^-{1,2,3,4,5})+($B$5*(1+$B$7)^5*(1+B$40)/($A44-B$40))*(1+$A44)^-5-$B$11+$B$10)/$B$12</f>
        <v>109.29369581246476</v>
      </c>
      <c r="C44" s="19">
        <f>(SUMPRODUCT($B$5*(1+$B$7)^{1,2,3,4,5},(1+$A44)^-{1,2,3,4,5})+($B$5*(1+$B$7)^5*(1+C$40)/($A44-C$40))*(1+$A44)^-5-$B$11+$B$10)/$B$12</f>
        <v>115.50253685221868</v>
      </c>
      <c r="D44" s="19">
        <f>(SUMPRODUCT($B$5*(1+$B$7)^{1,2,3,4,5},(1+$A44)^-{1,2,3,4,5})+($B$5*(1+$B$7)^5*(1+D$40)/($A44-D$40))*(1+$A44)^-5-$B$11+$B$10)/$B$12</f>
        <v>122.66658420578094</v>
      </c>
      <c r="E44" s="19">
        <f>(SUMPRODUCT($B$5*(1+$B$7)^{1,2,3,4,5},(1+$A44)^-{1,2,3,4,5})+($B$5*(1+$B$7)^5*(1+E$40)/($A44-E$40))*(1+$A44)^-5-$B$11+$B$10)/$B$12</f>
        <v>131.02463945160355</v>
      </c>
      <c r="F44" s="19">
        <f>(SUMPRODUCT($B$5*(1+$B$7)^{1,2,3,4,5},(1+$A44)^-{1,2,3,4,5})+($B$5*(1+$B$7)^5*(1+F$40)/($A44-F$40))*(1+$A44)^-5-$B$11+$B$10)/$B$12</f>
        <v>140.90234110575756</v>
      </c>
    </row>
    <row r="45" spans="1:6" x14ac:dyDescent="0.3">
      <c r="A45" s="9">
        <v>0.1</v>
      </c>
      <c r="B45" s="19">
        <f>(SUMPRODUCT($B$5*(1+$B$7)^{1,2,3,4,5},(1+$A45)^-{1,2,3,4,5})+($B$5*(1+$B$7)^5*(1+B$40)/($A45-B$40))*(1+$A45)^-5-$B$11+$B$10)/$B$12</f>
        <v>102.10715548821439</v>
      </c>
      <c r="C45" s="19">
        <f>(SUMPRODUCT($B$5*(1+$B$7)^{1,2,3,4,5},(1+$A45)^-{1,2,3,4,5})+($B$5*(1+$B$7)^5*(1+C$40)/($A45-C$40))*(1+$A45)^-5-$B$11+$B$10)/$B$12</f>
        <v>107.44178582258748</v>
      </c>
      <c r="D45" s="19">
        <f>(SUMPRODUCT($B$5*(1+$B$7)^{1,2,3,4,5},(1+$A45)^-{1,2,3,4,5})+($B$5*(1+$B$7)^5*(1+D$40)/($A45-D$40))*(1+$A45)^-5-$B$11+$B$10)/$B$12</f>
        <v>113.53850620472817</v>
      </c>
      <c r="E45" s="19">
        <f>(SUMPRODUCT($B$5*(1+$B$7)^{1,2,3,4,5},(1+$A45)^-{1,2,3,4,5})+($B$5*(1+$B$7)^5*(1+E$40)/($A45-E$40))*(1+$A45)^-5-$B$11+$B$10)/$B$12</f>
        <v>120.57318356873662</v>
      </c>
      <c r="F45" s="19">
        <f>(SUMPRODUCT($B$5*(1+$B$7)^{1,2,3,4,5},(1+$A45)^-{1,2,3,4,5})+($B$5*(1+$B$7)^5*(1+F$40)/($A45-F$40))*(1+$A45)^-5-$B$11+$B$10)/$B$12</f>
        <v>128.78030716007984</v>
      </c>
    </row>
  </sheetData>
  <mergeCells count="7">
    <mergeCell ref="A37:F37"/>
    <mergeCell ref="A38:F38"/>
    <mergeCell ref="A1:F1"/>
    <mergeCell ref="A2:F2"/>
    <mergeCell ref="A4:B4"/>
    <mergeCell ref="A14:F14"/>
    <mergeCell ref="A25:B2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5"/>
  <sheetViews>
    <sheetView topLeftCell="A23" zoomScaleNormal="100" workbookViewId="0">
      <selection activeCell="A38" sqref="A38:F39"/>
    </sheetView>
  </sheetViews>
  <sheetFormatPr defaultColWidth="8.6640625" defaultRowHeight="14.4" x14ac:dyDescent="0.3"/>
  <cols>
    <col min="1" max="1" width="36" customWidth="1"/>
    <col min="2" max="2" width="16" customWidth="1"/>
    <col min="3" max="3" width="18" customWidth="1"/>
    <col min="4" max="5" width="16" customWidth="1"/>
    <col min="6" max="6" width="14" customWidth="1"/>
  </cols>
  <sheetData>
    <row r="1" spans="1:6" ht="17.399999999999999" x14ac:dyDescent="0.3">
      <c r="A1" s="26" t="s">
        <v>59</v>
      </c>
      <c r="B1" s="26"/>
      <c r="C1" s="26"/>
      <c r="D1" s="26"/>
      <c r="E1" s="26"/>
      <c r="F1" s="26"/>
    </row>
    <row r="2" spans="1:6" x14ac:dyDescent="0.3">
      <c r="A2" s="23" t="s">
        <v>24</v>
      </c>
      <c r="B2" s="23"/>
      <c r="C2" s="23"/>
      <c r="D2" s="23"/>
      <c r="E2" s="23"/>
      <c r="F2" s="23"/>
    </row>
    <row r="4" spans="1:6" x14ac:dyDescent="0.3">
      <c r="A4" s="27" t="s">
        <v>25</v>
      </c>
      <c r="B4" s="27"/>
    </row>
    <row r="5" spans="1:6" x14ac:dyDescent="0.3">
      <c r="A5" s="7" t="s">
        <v>26</v>
      </c>
      <c r="B5" s="8">
        <v>71600</v>
      </c>
    </row>
    <row r="6" spans="1:6" x14ac:dyDescent="0.3">
      <c r="A6" s="7" t="s">
        <v>27</v>
      </c>
      <c r="B6" s="8">
        <v>281700</v>
      </c>
    </row>
    <row r="7" spans="1:6" x14ac:dyDescent="0.3">
      <c r="A7" s="7" t="s">
        <v>28</v>
      </c>
      <c r="B7" s="9">
        <v>0.12</v>
      </c>
    </row>
    <row r="8" spans="1:6" x14ac:dyDescent="0.3">
      <c r="A8" s="7" t="s">
        <v>29</v>
      </c>
      <c r="B8" s="9">
        <v>8.5000000000000006E-2</v>
      </c>
    </row>
    <row r="9" spans="1:6" x14ac:dyDescent="0.3">
      <c r="A9" s="7" t="s">
        <v>30</v>
      </c>
      <c r="B9" s="9">
        <v>3.5000000000000003E-2</v>
      </c>
    </row>
    <row r="10" spans="1:6" x14ac:dyDescent="0.3">
      <c r="A10" s="7" t="s">
        <v>31</v>
      </c>
      <c r="B10" s="8">
        <v>30200</v>
      </c>
    </row>
    <row r="11" spans="1:6" x14ac:dyDescent="0.3">
      <c r="A11" s="7" t="s">
        <v>32</v>
      </c>
      <c r="B11" s="8">
        <v>40200</v>
      </c>
    </row>
    <row r="12" spans="1:6" x14ac:dyDescent="0.3">
      <c r="A12" s="7" t="s">
        <v>33</v>
      </c>
      <c r="B12" s="10">
        <v>7430</v>
      </c>
    </row>
    <row r="13" spans="1:6" x14ac:dyDescent="0.3">
      <c r="A13" s="7" t="s">
        <v>34</v>
      </c>
      <c r="B13" s="11">
        <v>378</v>
      </c>
    </row>
    <row r="14" spans="1:6" x14ac:dyDescent="0.3">
      <c r="A14" s="23" t="s">
        <v>60</v>
      </c>
      <c r="B14" s="23"/>
      <c r="C14" s="23"/>
      <c r="D14" s="23"/>
      <c r="E14" s="23"/>
      <c r="F14" s="23"/>
    </row>
    <row r="16" spans="1:6" ht="28.2" x14ac:dyDescent="0.3">
      <c r="A16" s="1" t="s">
        <v>36</v>
      </c>
      <c r="B16" s="1" t="s">
        <v>37</v>
      </c>
      <c r="C16" s="1" t="s">
        <v>38</v>
      </c>
      <c r="D16" s="1" t="s">
        <v>39</v>
      </c>
      <c r="E16" s="1" t="s">
        <v>40</v>
      </c>
    </row>
    <row r="17" spans="1:5" x14ac:dyDescent="0.3">
      <c r="A17" s="2" t="s">
        <v>41</v>
      </c>
      <c r="B17" s="12">
        <v>1</v>
      </c>
      <c r="C17" s="13">
        <f>$B$5*(1+$B$7)</f>
        <v>80192.000000000015</v>
      </c>
      <c r="D17" s="14">
        <f>1/(1+$B$8)^B17</f>
        <v>0.92165898617511521</v>
      </c>
      <c r="E17" s="13">
        <f>C17*D17</f>
        <v>73909.677419354848</v>
      </c>
    </row>
    <row r="18" spans="1:5" x14ac:dyDescent="0.3">
      <c r="A18" s="2" t="s">
        <v>42</v>
      </c>
      <c r="B18" s="12">
        <v>2</v>
      </c>
      <c r="C18" s="13">
        <f>C17*(1+$B$7)</f>
        <v>89815.040000000023</v>
      </c>
      <c r="D18" s="14">
        <f>1/(1+$B$8)^B18</f>
        <v>0.84945528679734128</v>
      </c>
      <c r="E18" s="13">
        <f>C18*D18</f>
        <v>76293.860561914698</v>
      </c>
    </row>
    <row r="19" spans="1:5" x14ac:dyDescent="0.3">
      <c r="A19" s="2" t="s">
        <v>43</v>
      </c>
      <c r="B19" s="12">
        <v>3</v>
      </c>
      <c r="C19" s="13">
        <f>C18*(1+$B$7)</f>
        <v>100592.84480000004</v>
      </c>
      <c r="D19" s="14">
        <f>1/(1+$B$8)^B19</f>
        <v>0.78290809843072917</v>
      </c>
      <c r="E19" s="13">
        <f>C19*D19</f>
        <v>78754.952838105484</v>
      </c>
    </row>
    <row r="20" spans="1:5" x14ac:dyDescent="0.3">
      <c r="A20" s="2" t="s">
        <v>44</v>
      </c>
      <c r="B20" s="12">
        <v>4</v>
      </c>
      <c r="C20" s="13">
        <f>C19*(1+$B$7)</f>
        <v>112663.98617600005</v>
      </c>
      <c r="D20" s="14">
        <f>1/(1+$B$8)^B20</f>
        <v>0.72157428426795334</v>
      </c>
      <c r="E20" s="13">
        <f>C20*D20</f>
        <v>81295.435187721829</v>
      </c>
    </row>
    <row r="21" spans="1:5" x14ac:dyDescent="0.3">
      <c r="A21" s="2" t="s">
        <v>45</v>
      </c>
      <c r="B21" s="12">
        <v>5</v>
      </c>
      <c r="C21" s="13">
        <f>C20*(1+$B$7)</f>
        <v>126183.66451712007</v>
      </c>
      <c r="D21" s="14">
        <f>1/(1+$B$8)^B21</f>
        <v>0.66504542328843619</v>
      </c>
      <c r="E21" s="13">
        <f>C21*D21</f>
        <v>83917.868580874143</v>
      </c>
    </row>
    <row r="23" spans="1:5" x14ac:dyDescent="0.3">
      <c r="A23" s="2" t="s">
        <v>46</v>
      </c>
      <c r="B23" s="15"/>
      <c r="C23" s="13">
        <f>C21*(1+$B$9)/($B$8-$B$9)</f>
        <v>2612001.8555043847</v>
      </c>
      <c r="D23" s="14">
        <f>D21</f>
        <v>0.66504542328843619</v>
      </c>
      <c r="E23" s="13">
        <f>C23*D23</f>
        <v>1737099.8796240943</v>
      </c>
    </row>
    <row r="25" spans="1:5" x14ac:dyDescent="0.3">
      <c r="A25" s="27" t="s">
        <v>47</v>
      </c>
      <c r="B25" s="27"/>
    </row>
    <row r="26" spans="1:5" x14ac:dyDescent="0.3">
      <c r="A26" s="2" t="s">
        <v>48</v>
      </c>
      <c r="B26" s="13">
        <f>SUM(E17:E21)</f>
        <v>394171.79458797106</v>
      </c>
    </row>
    <row r="27" spans="1:5" x14ac:dyDescent="0.3">
      <c r="A27" s="2" t="s">
        <v>49</v>
      </c>
      <c r="B27" s="13">
        <f>E23</f>
        <v>1737099.8796240943</v>
      </c>
    </row>
    <row r="28" spans="1:5" x14ac:dyDescent="0.3">
      <c r="A28" s="2" t="s">
        <v>6</v>
      </c>
      <c r="B28" s="16">
        <f>B26+B27</f>
        <v>2131271.6742120655</v>
      </c>
    </row>
    <row r="29" spans="1:5" x14ac:dyDescent="0.3">
      <c r="A29" s="2" t="s">
        <v>50</v>
      </c>
      <c r="B29" s="13">
        <f>-B11</f>
        <v>-40200</v>
      </c>
    </row>
    <row r="30" spans="1:5" x14ac:dyDescent="0.3">
      <c r="A30" s="2" t="s">
        <v>51</v>
      </c>
      <c r="B30" s="13">
        <f>B10</f>
        <v>30200</v>
      </c>
    </row>
    <row r="31" spans="1:5" x14ac:dyDescent="0.3">
      <c r="A31" s="2" t="s">
        <v>7</v>
      </c>
      <c r="B31" s="16">
        <f>B28+B29+B30</f>
        <v>2121271.6742120655</v>
      </c>
    </row>
    <row r="32" spans="1:5" x14ac:dyDescent="0.3">
      <c r="A32" s="2" t="s">
        <v>52</v>
      </c>
      <c r="B32" s="17">
        <f>B12</f>
        <v>7430</v>
      </c>
    </row>
    <row r="33" spans="1:6" x14ac:dyDescent="0.3">
      <c r="A33" s="2" t="s">
        <v>53</v>
      </c>
      <c r="B33" s="18">
        <f>(B31*1)/B32</f>
        <v>285.50089827887825</v>
      </c>
    </row>
    <row r="34" spans="1:6" x14ac:dyDescent="0.3">
      <c r="A34" s="2" t="s">
        <v>54</v>
      </c>
      <c r="B34" s="19">
        <f>B13</f>
        <v>378</v>
      </c>
    </row>
    <row r="35" spans="1:6" x14ac:dyDescent="0.3">
      <c r="A35" s="2" t="s">
        <v>55</v>
      </c>
      <c r="B35" s="20">
        <f>B33/B34-1</f>
        <v>-0.24470661830984586</v>
      </c>
    </row>
    <row r="37" spans="1:6" x14ac:dyDescent="0.3">
      <c r="A37" s="27" t="s">
        <v>56</v>
      </c>
      <c r="B37" s="27"/>
      <c r="C37" s="27"/>
      <c r="D37" s="27"/>
      <c r="E37" s="27"/>
      <c r="F37" s="27"/>
    </row>
    <row r="38" spans="1:6" x14ac:dyDescent="0.3">
      <c r="A38" s="23" t="s">
        <v>57</v>
      </c>
      <c r="B38" s="23"/>
      <c r="C38" s="23"/>
      <c r="D38" s="23"/>
      <c r="E38" s="23"/>
      <c r="F38" s="23"/>
    </row>
    <row r="39" spans="1:6" x14ac:dyDescent="0.3">
      <c r="A39" s="22" t="s">
        <v>58</v>
      </c>
    </row>
    <row r="40" spans="1:6" x14ac:dyDescent="0.3">
      <c r="B40" s="21">
        <v>2.5000000000000001E-2</v>
      </c>
      <c r="C40" s="21">
        <v>0.03</v>
      </c>
      <c r="D40" s="21">
        <v>3.5000000000000003E-2</v>
      </c>
      <c r="E40" s="21">
        <v>0.04</v>
      </c>
      <c r="F40" s="21">
        <v>4.4999999999999998E-2</v>
      </c>
    </row>
    <row r="41" spans="1:6" x14ac:dyDescent="0.3">
      <c r="A41" s="9">
        <v>7.4999999999999997E-2</v>
      </c>
      <c r="B41" s="19">
        <f>(SUMPRODUCT($B$5*(1+$B$7)^{1,2,3,4,5},(1+$A41)^-{1,2,3,4,5})+($B$5*(1+$B$7)^5*(1+B$40)/($A41-B$40))*(1+$A41)^-5-$B$11+$B$10)/$B$12</f>
        <v>295.74443007367512</v>
      </c>
      <c r="C41" s="19">
        <f>(SUMPRODUCT($B$5*(1+$B$7)^{1,2,3,4,5},(1+$A41)^-{1,2,3,4,5})+($B$5*(1+$B$7)^5*(1+C$40)/($A41-C$40))*(1+$A41)^-5-$B$11+$B$10)/$B$12</f>
        <v>324.00415636036382</v>
      </c>
      <c r="D41" s="19">
        <f>(SUMPRODUCT($B$5*(1+$B$7)^{1,2,3,4,5},(1+$A41)^-{1,2,3,4,5})+($B$5*(1+$B$7)^5*(1+D$40)/($A41-D$40))*(1+$A41)^-5-$B$11+$B$10)/$B$12</f>
        <v>359.3288142187248</v>
      </c>
      <c r="E41" s="19">
        <f>(SUMPRODUCT($B$5*(1+$B$7)^{1,2,3,4,5},(1+$A41)^-{1,2,3,4,5})+($B$5*(1+$B$7)^5*(1+E$40)/($A41-E$40))*(1+$A41)^-5-$B$11+$B$10)/$B$12</f>
        <v>404.74623146518894</v>
      </c>
      <c r="F41" s="19">
        <f>(SUMPRODUCT($B$5*(1+$B$7)^{1,2,3,4,5},(1+$A41)^-{1,2,3,4,5})+($B$5*(1+$B$7)^5*(1+F$40)/($A41-F$40))*(1+$A41)^-5-$B$11+$B$10)/$B$12</f>
        <v>465.30278779380757</v>
      </c>
    </row>
    <row r="42" spans="1:6" x14ac:dyDescent="0.3">
      <c r="A42" s="9">
        <v>0.08</v>
      </c>
      <c r="B42" s="19">
        <f>(SUMPRODUCT($B$5*(1+$B$7)^{1,2,3,4,5},(1+$A42)^-{1,2,3,4,5})+($B$5*(1+$B$7)^5*(1+B$40)/($A42-B$40))*(1+$A42)^-5-$B$11+$B$10)/$B$12</f>
        <v>267.86811658857818</v>
      </c>
      <c r="C42" s="19">
        <f>(SUMPRODUCT($B$5*(1+$B$7)^{1,2,3,4,5},(1+$A42)^-{1,2,3,4,5})+($B$5*(1+$B$7)^5*(1+C$40)/($A42-C$40))*(1+$A42)^-5-$B$11+$B$10)/$B$12</f>
        <v>290.5644974414684</v>
      </c>
      <c r="D42" s="19">
        <f>(SUMPRODUCT($B$5*(1+$B$7)^{1,2,3,4,5},(1+$A42)^-{1,2,3,4,5})+($B$5*(1+$B$7)^5*(1+D$40)/($A42-D$40))*(1+$A42)^-5-$B$11+$B$10)/$B$12</f>
        <v>318.30451848388975</v>
      </c>
      <c r="E42" s="19">
        <f>(SUMPRODUCT($B$5*(1+$B$7)^{1,2,3,4,5},(1+$A42)^-{1,2,3,4,5})+($B$5*(1+$B$7)^5*(1+E$40)/($A42-E$40))*(1+$A42)^-5-$B$11+$B$10)/$B$12</f>
        <v>352.97954478691645</v>
      </c>
      <c r="F42" s="19">
        <f>(SUMPRODUCT($B$5*(1+$B$7)^{1,2,3,4,5},(1+$A42)^-{1,2,3,4,5})+($B$5*(1+$B$7)^5*(1+F$40)/($A42-F$40))*(1+$A42)^-5-$B$11+$B$10)/$B$12</f>
        <v>397.56172146223639</v>
      </c>
    </row>
    <row r="43" spans="1:6" x14ac:dyDescent="0.3">
      <c r="A43" s="9">
        <v>8.5000000000000006E-2</v>
      </c>
      <c r="B43" s="19">
        <f>(SUMPRODUCT($B$5*(1+$B$7)^{1,2,3,4,5},(1+$A43)^-{1,2,3,4,5})+($B$5*(1+$B$7)^5*(1+B$40)/($A43-B$40))*(1+$A43)^-5-$B$11+$B$10)/$B$12</f>
        <v>244.65258629581479</v>
      </c>
      <c r="C43" s="19">
        <f>(SUMPRODUCT($B$5*(1+$B$7)^{1,2,3,4,5},(1+$A43)^-{1,2,3,4,5})+($B$5*(1+$B$7)^5*(1+C$40)/($A43-C$40))*(1+$A43)^-5-$B$11+$B$10)/$B$12</f>
        <v>263.22000083357091</v>
      </c>
      <c r="D43" s="19">
        <f>(SUMPRODUCT($B$5*(1+$B$7)^{1,2,3,4,5},(1+$A43)^-{1,2,3,4,5})+($B$5*(1+$B$7)^5*(1+D$40)/($A43-D$40))*(1+$A43)^-5-$B$11+$B$10)/$B$12</f>
        <v>285.50089827887814</v>
      </c>
      <c r="E43" s="19">
        <f>(SUMPRODUCT($B$5*(1+$B$7)^{1,2,3,4,5},(1+$A43)^-{1,2,3,4,5})+($B$5*(1+$B$7)^5*(1+E$40)/($A43-E$40))*(1+$A43)^-5-$B$11+$B$10)/$B$12</f>
        <v>312.73310626758723</v>
      </c>
      <c r="F43" s="19">
        <f>(SUMPRODUCT($B$5*(1+$B$7)^{1,2,3,4,5},(1+$A43)^-{1,2,3,4,5})+($B$5*(1+$B$7)^5*(1+F$40)/($A43-F$40))*(1+$A43)^-5-$B$11+$B$10)/$B$12</f>
        <v>346.77336625347334</v>
      </c>
    </row>
    <row r="44" spans="1:6" x14ac:dyDescent="0.3">
      <c r="A44" s="9">
        <v>0.09</v>
      </c>
      <c r="B44" s="19">
        <f>(SUMPRODUCT($B$5*(1+$B$7)^{1,2,3,4,5},(1+$A44)^-{1,2,3,4,5})+($B$5*(1+$B$7)^5*(1+B$40)/($A44-B$40))*(1+$A44)^-5-$B$11+$B$10)/$B$12</f>
        <v>225.02194644093356</v>
      </c>
      <c r="C44" s="19">
        <f>(SUMPRODUCT($B$5*(1+$B$7)^{1,2,3,4,5},(1+$A44)^-{1,2,3,4,5})+($B$5*(1+$B$7)^5*(1+C$40)/($A44-C$40))*(1+$A44)^-5-$B$11+$B$10)/$B$12</f>
        <v>240.44653994069554</v>
      </c>
      <c r="D44" s="19">
        <f>(SUMPRODUCT($B$5*(1+$B$7)^{1,2,3,4,5},(1+$A44)^-{1,2,3,4,5})+($B$5*(1+$B$7)^5*(1+D$40)/($A44-D$40))*(1+$A44)^-5-$B$11+$B$10)/$B$12</f>
        <v>258.6756049858688</v>
      </c>
      <c r="E44" s="19">
        <f>(SUMPRODUCT($B$5*(1+$B$7)^{1,2,3,4,5},(1+$A44)^-{1,2,3,4,5})+($B$5*(1+$B$7)^5*(1+E$40)/($A44-E$40))*(1+$A44)^-5-$B$11+$B$10)/$B$12</f>
        <v>280.55048304007676</v>
      </c>
      <c r="F44" s="19">
        <f>(SUMPRODUCT($B$5*(1+$B$7)^{1,2,3,4,5},(1+$A44)^-{1,2,3,4,5})+($B$5*(1+$B$7)^5*(1+F$40)/($A44-F$40))*(1+$A44)^-5-$B$11+$B$10)/$B$12</f>
        <v>307.28644510633086</v>
      </c>
    </row>
    <row r="45" spans="1:6" x14ac:dyDescent="0.3">
      <c r="A45" s="9">
        <v>9.5000000000000001E-2</v>
      </c>
      <c r="B45" s="19">
        <f>(SUMPRODUCT($B$5*(1+$B$7)^{1,2,3,4,5},(1+$A45)^-{1,2,3,4,5})+($B$5*(1+$B$7)^5*(1+B$40)/($A45-B$40))*(1+$A45)^-5-$B$11+$B$10)/$B$12</f>
        <v>208.20771106239999</v>
      </c>
      <c r="C45" s="19">
        <f>(SUMPRODUCT($B$5*(1+$B$7)^{1,2,3,4,5},(1+$A45)^-{1,2,3,4,5})+($B$5*(1+$B$7)^5*(1+C$40)/($A45-C$40))*(1+$A45)^-5-$B$11+$B$10)/$B$12</f>
        <v>221.18895923888567</v>
      </c>
      <c r="D45" s="19">
        <f>(SUMPRODUCT($B$5*(1+$B$7)^{1,2,3,4,5},(1+$A45)^-{1,2,3,4,5})+($B$5*(1+$B$7)^5*(1+D$40)/($A45-D$40))*(1+$A45)^-5-$B$11+$B$10)/$B$12</f>
        <v>236.33374877811886</v>
      </c>
      <c r="E45" s="19">
        <f>(SUMPRODUCT($B$5*(1+$B$7)^{1,2,3,4,5},(1+$A45)^-{1,2,3,4,5})+($B$5*(1+$B$7)^5*(1+E$40)/($A45-E$40))*(1+$A45)^-5-$B$11+$B$10)/$B$12</f>
        <v>254.23213641539454</v>
      </c>
      <c r="F45" s="19">
        <f>(SUMPRODUCT($B$5*(1+$B$7)^{1,2,3,4,5},(1+$A45)^-{1,2,3,4,5})+($B$5*(1+$B$7)^5*(1+F$40)/($A45-F$40))*(1+$A45)^-5-$B$11+$B$10)/$B$12</f>
        <v>275.71020158012522</v>
      </c>
    </row>
  </sheetData>
  <mergeCells count="7">
    <mergeCell ref="A37:F37"/>
    <mergeCell ref="A38:F38"/>
    <mergeCell ref="A1:F1"/>
    <mergeCell ref="A2:F2"/>
    <mergeCell ref="A4:B4"/>
    <mergeCell ref="A14:F14"/>
    <mergeCell ref="A25:B2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5"/>
  <sheetViews>
    <sheetView zoomScaleNormal="100" workbookViewId="0">
      <selection activeCell="A2" sqref="A2:F2"/>
    </sheetView>
  </sheetViews>
  <sheetFormatPr defaultColWidth="8.6640625" defaultRowHeight="14.4" x14ac:dyDescent="0.3"/>
  <cols>
    <col min="1" max="1" width="36" customWidth="1"/>
    <col min="2" max="2" width="16" customWidth="1"/>
    <col min="3" max="3" width="18" customWidth="1"/>
    <col min="4" max="5" width="16" customWidth="1"/>
    <col min="6" max="6" width="14" customWidth="1"/>
  </cols>
  <sheetData>
    <row r="1" spans="1:6" ht="17.399999999999999" x14ac:dyDescent="0.3">
      <c r="A1" s="26" t="s">
        <v>61</v>
      </c>
      <c r="B1" s="26"/>
      <c r="C1" s="26"/>
      <c r="D1" s="26"/>
      <c r="E1" s="26"/>
      <c r="F1" s="26"/>
    </row>
    <row r="2" spans="1:6" x14ac:dyDescent="0.3">
      <c r="A2" s="23" t="s">
        <v>24</v>
      </c>
      <c r="B2" s="23"/>
      <c r="C2" s="23"/>
      <c r="D2" s="23"/>
      <c r="E2" s="23"/>
      <c r="F2" s="23"/>
    </row>
    <row r="4" spans="1:6" x14ac:dyDescent="0.3">
      <c r="A4" s="27" t="s">
        <v>25</v>
      </c>
      <c r="B4" s="27"/>
    </row>
    <row r="5" spans="1:6" x14ac:dyDescent="0.3">
      <c r="A5" s="7" t="s">
        <v>26</v>
      </c>
      <c r="B5" s="8">
        <v>73300</v>
      </c>
    </row>
    <row r="6" spans="1:6" x14ac:dyDescent="0.3">
      <c r="A6" s="7" t="s">
        <v>27</v>
      </c>
      <c r="B6" s="8">
        <v>402800</v>
      </c>
    </row>
    <row r="7" spans="1:6" x14ac:dyDescent="0.3">
      <c r="A7" s="7" t="s">
        <v>28</v>
      </c>
      <c r="B7" s="9">
        <v>0.13</v>
      </c>
    </row>
    <row r="8" spans="1:6" x14ac:dyDescent="0.3">
      <c r="A8" s="7" t="s">
        <v>29</v>
      </c>
      <c r="B8" s="9">
        <v>0.09</v>
      </c>
    </row>
    <row r="9" spans="1:6" x14ac:dyDescent="0.3">
      <c r="A9" s="7" t="s">
        <v>30</v>
      </c>
      <c r="B9" s="9">
        <v>3.5000000000000003E-2</v>
      </c>
    </row>
    <row r="10" spans="1:6" x14ac:dyDescent="0.3">
      <c r="A10" s="7" t="s">
        <v>31</v>
      </c>
      <c r="B10" s="8">
        <v>126800</v>
      </c>
    </row>
    <row r="11" spans="1:6" x14ac:dyDescent="0.3">
      <c r="A11" s="7" t="s">
        <v>32</v>
      </c>
      <c r="B11" s="8">
        <v>59300</v>
      </c>
    </row>
    <row r="12" spans="1:6" x14ac:dyDescent="0.3">
      <c r="A12" s="7" t="s">
        <v>33</v>
      </c>
      <c r="B12" s="10">
        <v>12100</v>
      </c>
    </row>
    <row r="13" spans="1:6" x14ac:dyDescent="0.3">
      <c r="A13" s="7" t="s">
        <v>34</v>
      </c>
      <c r="B13" s="11">
        <v>366</v>
      </c>
    </row>
    <row r="14" spans="1:6" x14ac:dyDescent="0.3">
      <c r="A14" s="23" t="s">
        <v>62</v>
      </c>
      <c r="B14" s="23"/>
      <c r="C14" s="23"/>
      <c r="D14" s="23"/>
      <c r="E14" s="23"/>
      <c r="F14" s="23"/>
    </row>
    <row r="16" spans="1:6" ht="28.2" x14ac:dyDescent="0.3">
      <c r="A16" s="1" t="s">
        <v>36</v>
      </c>
      <c r="B16" s="1" t="s">
        <v>37</v>
      </c>
      <c r="C16" s="1" t="s">
        <v>38</v>
      </c>
      <c r="D16" s="1" t="s">
        <v>39</v>
      </c>
      <c r="E16" s="1" t="s">
        <v>40</v>
      </c>
    </row>
    <row r="17" spans="1:5" x14ac:dyDescent="0.3">
      <c r="A17" s="2" t="s">
        <v>41</v>
      </c>
      <c r="B17" s="12">
        <v>1</v>
      </c>
      <c r="C17" s="13">
        <f>$B$5*(1+$B$7)</f>
        <v>82828.999999999985</v>
      </c>
      <c r="D17" s="14">
        <f>1/(1+$B$8)^B17</f>
        <v>0.9174311926605504</v>
      </c>
      <c r="E17" s="13">
        <f>C17*D17</f>
        <v>75989.908256880721</v>
      </c>
    </row>
    <row r="18" spans="1:5" x14ac:dyDescent="0.3">
      <c r="A18" s="2" t="s">
        <v>42</v>
      </c>
      <c r="B18" s="12">
        <v>2</v>
      </c>
      <c r="C18" s="13">
        <f>C17*(1+$B$7)</f>
        <v>93596.769999999975</v>
      </c>
      <c r="D18" s="14">
        <f>1/(1+$B$8)^B18</f>
        <v>0.84167999326655996</v>
      </c>
      <c r="E18" s="13">
        <f>C18*D18</f>
        <v>78778.528743371746</v>
      </c>
    </row>
    <row r="19" spans="1:5" x14ac:dyDescent="0.3">
      <c r="A19" s="2" t="s">
        <v>43</v>
      </c>
      <c r="B19" s="12">
        <v>3</v>
      </c>
      <c r="C19" s="13">
        <f>C18*(1+$B$7)</f>
        <v>105764.35009999997</v>
      </c>
      <c r="D19" s="14">
        <f>1/(1+$B$8)^B19</f>
        <v>0.77218348006106419</v>
      </c>
      <c r="E19" s="13">
        <f>C19*D19</f>
        <v>81669.483926614732</v>
      </c>
    </row>
    <row r="20" spans="1:5" x14ac:dyDescent="0.3">
      <c r="A20" s="2" t="s">
        <v>44</v>
      </c>
      <c r="B20" s="12">
        <v>4</v>
      </c>
      <c r="C20" s="13">
        <f>C19*(1+$B$7)</f>
        <v>119513.71561299995</v>
      </c>
      <c r="D20" s="14">
        <f>1/(1+$B$8)^B20</f>
        <v>0.7084252110651964</v>
      </c>
      <c r="E20" s="13">
        <f>C20*D20</f>
        <v>84666.529208325344</v>
      </c>
    </row>
    <row r="21" spans="1:5" x14ac:dyDescent="0.3">
      <c r="A21" s="2" t="s">
        <v>45</v>
      </c>
      <c r="B21" s="12">
        <v>5</v>
      </c>
      <c r="C21" s="13">
        <f>C20*(1+$B$7)</f>
        <v>135050.49864268993</v>
      </c>
      <c r="D21" s="14">
        <f>1/(1+$B$8)^B21</f>
        <v>0.64993138629834524</v>
      </c>
      <c r="E21" s="13">
        <f>C21*D21</f>
        <v>87773.557803126256</v>
      </c>
    </row>
    <row r="23" spans="1:5" x14ac:dyDescent="0.3">
      <c r="A23" s="2" t="s">
        <v>46</v>
      </c>
      <c r="B23" s="15"/>
      <c r="C23" s="13">
        <f>C21*(1+$B$9)/($B$8-$B$9)</f>
        <v>2541404.8380942559</v>
      </c>
      <c r="D23" s="14">
        <f>D21</f>
        <v>0.64993138629834524</v>
      </c>
      <c r="E23" s="13">
        <f>C23*D23</f>
        <v>1651738.7695679213</v>
      </c>
    </row>
    <row r="25" spans="1:5" x14ac:dyDescent="0.3">
      <c r="A25" s="27" t="s">
        <v>47</v>
      </c>
      <c r="B25" s="27"/>
    </row>
    <row r="26" spans="1:5" x14ac:dyDescent="0.3">
      <c r="A26" s="2" t="s">
        <v>48</v>
      </c>
      <c r="B26" s="13">
        <f>SUM(E17:E21)</f>
        <v>408878.00793831889</v>
      </c>
    </row>
    <row r="27" spans="1:5" x14ac:dyDescent="0.3">
      <c r="A27" s="2" t="s">
        <v>49</v>
      </c>
      <c r="B27" s="13">
        <f>E23</f>
        <v>1651738.7695679213</v>
      </c>
    </row>
    <row r="28" spans="1:5" x14ac:dyDescent="0.3">
      <c r="A28" s="2" t="s">
        <v>6</v>
      </c>
      <c r="B28" s="16">
        <f>B26+B27</f>
        <v>2060616.7775062402</v>
      </c>
    </row>
    <row r="29" spans="1:5" x14ac:dyDescent="0.3">
      <c r="A29" s="2" t="s">
        <v>50</v>
      </c>
      <c r="B29" s="13">
        <f>-B11</f>
        <v>-59300</v>
      </c>
    </row>
    <row r="30" spans="1:5" x14ac:dyDescent="0.3">
      <c r="A30" s="2" t="s">
        <v>51</v>
      </c>
      <c r="B30" s="13">
        <f>B10</f>
        <v>126800</v>
      </c>
    </row>
    <row r="31" spans="1:5" x14ac:dyDescent="0.3">
      <c r="A31" s="2" t="s">
        <v>7</v>
      </c>
      <c r="B31" s="16">
        <f>B28+B29+B30</f>
        <v>2128116.7775062402</v>
      </c>
    </row>
    <row r="32" spans="1:5" x14ac:dyDescent="0.3">
      <c r="A32" s="2" t="s">
        <v>52</v>
      </c>
      <c r="B32" s="17">
        <f>B12</f>
        <v>12100</v>
      </c>
    </row>
    <row r="33" spans="1:6" x14ac:dyDescent="0.3">
      <c r="A33" s="2" t="s">
        <v>53</v>
      </c>
      <c r="B33" s="18">
        <f>(B31*1)/B32</f>
        <v>175.87741962861489</v>
      </c>
    </row>
    <row r="34" spans="1:6" x14ac:dyDescent="0.3">
      <c r="A34" s="2" t="s">
        <v>54</v>
      </c>
      <c r="B34" s="19">
        <f>B13</f>
        <v>366</v>
      </c>
    </row>
    <row r="35" spans="1:6" x14ac:dyDescent="0.3">
      <c r="A35" s="2" t="s">
        <v>55</v>
      </c>
      <c r="B35" s="20">
        <f>B33/B34-1</f>
        <v>-0.51946060210760958</v>
      </c>
    </row>
    <row r="37" spans="1:6" x14ac:dyDescent="0.3">
      <c r="A37" s="27" t="s">
        <v>56</v>
      </c>
      <c r="B37" s="27"/>
      <c r="C37" s="27"/>
      <c r="D37" s="27"/>
      <c r="E37" s="27"/>
      <c r="F37" s="27"/>
    </row>
    <row r="38" spans="1:6" x14ac:dyDescent="0.3">
      <c r="A38" s="23" t="s">
        <v>57</v>
      </c>
      <c r="B38" s="23"/>
      <c r="C38" s="23"/>
      <c r="D38" s="23"/>
      <c r="E38" s="23"/>
      <c r="F38" s="23"/>
    </row>
    <row r="39" spans="1:6" x14ac:dyDescent="0.3">
      <c r="A39" s="22" t="s">
        <v>58</v>
      </c>
    </row>
    <row r="40" spans="1:6" x14ac:dyDescent="0.3">
      <c r="B40" s="21">
        <v>2.5000000000000001E-2</v>
      </c>
      <c r="C40" s="21">
        <v>0.03</v>
      </c>
      <c r="D40" s="21">
        <v>3.5000000000000003E-2</v>
      </c>
      <c r="E40" s="21">
        <v>0.04</v>
      </c>
      <c r="F40" s="21">
        <v>4.4999999999999998E-2</v>
      </c>
    </row>
    <row r="41" spans="1:6" x14ac:dyDescent="0.3">
      <c r="A41" s="9">
        <v>0.08</v>
      </c>
      <c r="B41" s="19">
        <f>(SUMPRODUCT($B$5*(1+$B$7)^{1,2,3,4,5},(1+$A41)^-{1,2,3,4,5})+($B$5*(1+$B$7)^5*(1+B$40)/($A41-B$40))*(1+$A41)^-5-$B$11+$B$10)/$B$12</f>
        <v>181.90760494153335</v>
      </c>
      <c r="C41" s="19">
        <f>(SUMPRODUCT($B$5*(1+$B$7)^{1,2,3,4,5},(1+$A41)^-{1,2,3,4,5})+($B$5*(1+$B$7)^5*(1+C$40)/($A41-C$40))*(1+$A41)^-5-$B$11+$B$10)/$B$12</f>
        <v>196.82363020636041</v>
      </c>
      <c r="D41" s="19">
        <f>(SUMPRODUCT($B$5*(1+$B$7)^{1,2,3,4,5},(1+$A41)^-{1,2,3,4,5})+($B$5*(1+$B$7)^5*(1+D$40)/($A41-D$40))*(1+$A41)^-5-$B$11+$B$10)/$B$12</f>
        <v>215.05432775226009</v>
      </c>
      <c r="E41" s="19">
        <f>(SUMPRODUCT($B$5*(1+$B$7)^{1,2,3,4,5},(1+$A41)^-{1,2,3,4,5})+($B$5*(1+$B$7)^5*(1+E$40)/($A41-E$40))*(1+$A41)^-5-$B$11+$B$10)/$B$12</f>
        <v>237.84269968463477</v>
      </c>
      <c r="F41" s="19">
        <f>(SUMPRODUCT($B$5*(1+$B$7)^{1,2,3,4,5},(1+$A41)^-{1,2,3,4,5})+($B$5*(1+$B$7)^5*(1+F$40)/($A41-F$40))*(1+$A41)^-5-$B$11+$B$10)/$B$12</f>
        <v>267.14203502625929</v>
      </c>
    </row>
    <row r="42" spans="1:6" x14ac:dyDescent="0.3">
      <c r="A42" s="9">
        <v>8.5000000000000006E-2</v>
      </c>
      <c r="B42" s="19">
        <f>(SUMPRODUCT($B$5*(1+$B$7)^{1,2,3,4,5},(1+$A42)^-{1,2,3,4,5})+($B$5*(1+$B$7)^5*(1+B$40)/($A42-B$40))*(1+$A42)^-5-$B$11+$B$10)/$B$12</f>
        <v>166.65600013172835</v>
      </c>
      <c r="C42" s="19">
        <f>(SUMPRODUCT($B$5*(1+$B$7)^{1,2,3,4,5},(1+$A42)^-{1,2,3,4,5})+($B$5*(1+$B$7)^5*(1+C$40)/($A42-C$40))*(1+$A42)^-5-$B$11+$B$10)/$B$12</f>
        <v>178.85847532558375</v>
      </c>
      <c r="D42" s="19">
        <f>(SUMPRODUCT($B$5*(1+$B$7)^{1,2,3,4,5},(1+$A42)^-{1,2,3,4,5})+($B$5*(1+$B$7)^5*(1+D$40)/($A42-D$40))*(1+$A42)^-5-$B$11+$B$10)/$B$12</f>
        <v>193.50144555821021</v>
      </c>
      <c r="E42" s="19">
        <f>(SUMPRODUCT($B$5*(1+$B$7)^{1,2,3,4,5},(1+$A42)^-{1,2,3,4,5})+($B$5*(1+$B$7)^5*(1+E$40)/($A42-E$40))*(1+$A42)^-5-$B$11+$B$10)/$B$12</f>
        <v>211.3984091758648</v>
      </c>
      <c r="F42" s="19">
        <f>(SUMPRODUCT($B$5*(1+$B$7)^{1,2,3,4,5},(1+$A42)^-{1,2,3,4,5})+($B$5*(1+$B$7)^5*(1+F$40)/($A42-F$40))*(1+$A42)^-5-$B$11+$B$10)/$B$12</f>
        <v>233.76961369793301</v>
      </c>
    </row>
    <row r="43" spans="1:6" x14ac:dyDescent="0.3">
      <c r="A43" s="9">
        <v>0.09</v>
      </c>
      <c r="B43" s="19">
        <f>(SUMPRODUCT($B$5*(1+$B$7)^{1,2,3,4,5},(1+$A43)^-{1,2,3,4,5})+($B$5*(1+$B$7)^5*(1+B$40)/($A43-B$40))*(1+$A43)^-5-$B$11+$B$10)/$B$12</f>
        <v>153.76028895638288</v>
      </c>
      <c r="C43" s="19">
        <f>(SUMPRODUCT($B$5*(1+$B$7)^{1,2,3,4,5},(1+$A43)^-{1,2,3,4,5})+($B$5*(1+$B$7)^5*(1+C$40)/($A43-C$40))*(1+$A43)^-5-$B$11+$B$10)/$B$12</f>
        <v>163.8973071811559</v>
      </c>
      <c r="D43" s="19">
        <f>(SUMPRODUCT($B$5*(1+$B$7)^{1,2,3,4,5},(1+$A43)^-{1,2,3,4,5})+($B$5*(1+$B$7)^5*(1+D$40)/($A43-D$40))*(1+$A43)^-5-$B$11+$B$10)/$B$12</f>
        <v>175.87741962861489</v>
      </c>
      <c r="E43" s="19">
        <f>(SUMPRODUCT($B$5*(1+$B$7)^{1,2,3,4,5},(1+$A43)^-{1,2,3,4,5})+($B$5*(1+$B$7)^5*(1+E$40)/($A43-E$40))*(1+$A43)^-5-$B$11+$B$10)/$B$12</f>
        <v>190.25355456556574</v>
      </c>
      <c r="F43" s="19">
        <f>(SUMPRODUCT($B$5*(1+$B$7)^{1,2,3,4,5},(1+$A43)^-{1,2,3,4,5})+($B$5*(1+$B$7)^5*(1+F$40)/($A43-F$40))*(1+$A43)^-5-$B$11+$B$10)/$B$12</f>
        <v>207.82438615517222</v>
      </c>
    </row>
    <row r="44" spans="1:6" x14ac:dyDescent="0.3">
      <c r="A44" s="9">
        <v>9.5000000000000001E-2</v>
      </c>
      <c r="B44" s="19">
        <f>(SUMPRODUCT($B$5*(1+$B$7)^{1,2,3,4,5},(1+$A44)^-{1,2,3,4,5})+($B$5*(1+$B$7)^5*(1+B$40)/($A44-B$40))*(1+$A44)^-5-$B$11+$B$10)/$B$12</f>
        <v>142.71542565998388</v>
      </c>
      <c r="C44" s="19">
        <f>(SUMPRODUCT($B$5*(1+$B$7)^{1,2,3,4,5},(1+$A44)^-{1,2,3,4,5})+($B$5*(1+$B$7)^5*(1+C$40)/($A44-C$40))*(1+$A44)^-5-$B$11+$B$10)/$B$12</f>
        <v>151.24668123876893</v>
      </c>
      <c r="D44" s="19">
        <f>(SUMPRODUCT($B$5*(1+$B$7)^{1,2,3,4,5},(1+$A44)^-{1,2,3,4,5})+($B$5*(1+$B$7)^5*(1+D$40)/($A44-D$40))*(1+$A44)^-5-$B$11+$B$10)/$B$12</f>
        <v>161.19981274735147</v>
      </c>
      <c r="E44" s="19">
        <f>(SUMPRODUCT($B$5*(1+$B$7)^{1,2,3,4,5},(1+$A44)^-{1,2,3,4,5})+($B$5*(1+$B$7)^5*(1+E$40)/($A44-E$40))*(1+$A44)^-5-$B$11+$B$10)/$B$12</f>
        <v>172.96260453022177</v>
      </c>
      <c r="F44" s="19">
        <f>(SUMPRODUCT($B$5*(1+$B$7)^{1,2,3,4,5},(1+$A44)^-{1,2,3,4,5})+($B$5*(1+$B$7)^5*(1+F$40)/($A44-F$40))*(1+$A44)^-5-$B$11+$B$10)/$B$12</f>
        <v>187.07795466966607</v>
      </c>
    </row>
    <row r="45" spans="1:6" x14ac:dyDescent="0.3">
      <c r="A45" s="9">
        <v>0.1</v>
      </c>
      <c r="B45" s="19">
        <f>(SUMPRODUCT($B$5*(1+$B$7)^{1,2,3,4,5},(1+$A45)^-{1,2,3,4,5})+($B$5*(1+$B$7)^5*(1+B$40)/($A45-B$40))*(1+$A45)^-5-$B$11+$B$10)/$B$12</f>
        <v>133.15104908376648</v>
      </c>
      <c r="C45" s="19">
        <f>(SUMPRODUCT($B$5*(1+$B$7)^{1,2,3,4,5},(1+$A45)^-{1,2,3,4,5})+($B$5*(1+$B$7)^5*(1+C$40)/($A45-C$40))*(1+$A45)^-5-$B$11+$B$10)/$B$12</f>
        <v>140.41128581943903</v>
      </c>
      <c r="D45" s="19">
        <f>(SUMPRODUCT($B$5*(1+$B$7)^{1,2,3,4,5},(1+$A45)^-{1,2,3,4,5})+($B$5*(1+$B$7)^5*(1+D$40)/($A45-D$40))*(1+$A45)^-5-$B$11+$B$10)/$B$12</f>
        <v>148.78848205290731</v>
      </c>
      <c r="E45" s="19">
        <f>(SUMPRODUCT($B$5*(1+$B$7)^{1,2,3,4,5},(1+$A45)^-{1,2,3,4,5})+($B$5*(1+$B$7)^5*(1+E$40)/($A45-E$40))*(1+$A45)^-5-$B$11+$B$10)/$B$12</f>
        <v>158.56187765862032</v>
      </c>
      <c r="F45" s="19">
        <f>(SUMPRODUCT($B$5*(1+$B$7)^{1,2,3,4,5},(1+$A45)^-{1,2,3,4,5})+($B$5*(1+$B$7)^5*(1+F$40)/($A45-F$40))*(1+$A45)^-5-$B$11+$B$10)/$B$12</f>
        <v>170.11225428355385</v>
      </c>
    </row>
  </sheetData>
  <mergeCells count="7">
    <mergeCell ref="A37:F37"/>
    <mergeCell ref="A38:F38"/>
    <mergeCell ref="A1:F1"/>
    <mergeCell ref="A2:F2"/>
    <mergeCell ref="A4:B4"/>
    <mergeCell ref="A14:F14"/>
    <mergeCell ref="A25:B2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AAPL</vt:lpstr>
      <vt:lpstr>MSFT</vt:lpstr>
      <vt:lpstr>GOOGL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Srinjini Saha</cp:lastModifiedBy>
  <cp:revision>0</cp:revision>
  <dcterms:created xsi:type="dcterms:W3CDTF">2026-06-22T11:22:01Z</dcterms:created>
  <dcterms:modified xsi:type="dcterms:W3CDTF">2026-06-22T12:39:14Z</dcterms:modified>
  <dc:language>en-US</dc:language>
</cp:coreProperties>
</file>